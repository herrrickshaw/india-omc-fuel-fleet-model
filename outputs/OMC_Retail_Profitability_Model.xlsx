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Base" sheetId="2" state="visible" r:id="rId4"/>
    <sheet name="Scenarios" sheetId="3" state="visible" r:id="rId5"/>
    <sheet name="BlendMix" sheetId="4" state="visible" r:id="rId6"/>
    <sheet name="Projection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<sst xmlns="http://schemas.openxmlformats.org/spreadsheetml/2006/main" count="124" uniqueCount="101">
  <si>
    <t xml:space="preserve">OMC Retail Profitability Model — Inputs (edit blue cells)</t>
  </si>
  <si>
    <t xml:space="preserve">Parameter</t>
  </si>
  <si>
    <t xml:space="preserve">Value</t>
  </si>
  <si>
    <t xml:space="preserve">Unit</t>
  </si>
  <si>
    <t xml:space="preserve">Source / note</t>
  </si>
  <si>
    <t xml:space="preserve">Retail outlets (01.10.2025)</t>
  </si>
  <si>
    <t xml:space="preserve">count</t>
  </si>
  <si>
    <t xml:space="preserve">PPAC RR Table 6.6/6.7</t>
  </si>
  <si>
    <t xml:space="preserve">Outlets prior year (01.10.2024)</t>
  </si>
  <si>
    <t xml:space="preserve">PPAC RR Table 6.4D</t>
  </si>
  <si>
    <t xml:space="preserve">Petrol (MS) consumption FY24-25</t>
  </si>
  <si>
    <t xml:space="preserve">MMT</t>
  </si>
  <si>
    <t xml:space="preserve">PPAC RR Table 6.1</t>
  </si>
  <si>
    <t xml:space="preserve">Diesel (HSD) consumption FY24-25</t>
  </si>
  <si>
    <t xml:space="preserve">Petrol density</t>
  </si>
  <si>
    <t xml:space="preserve">kg/L</t>
  </si>
  <si>
    <t xml:space="preserve">standard</t>
  </si>
  <si>
    <t xml:space="preserve">Diesel density</t>
  </si>
  <si>
    <t xml:space="preserve">OMC marketing margin — petrol</t>
  </si>
  <si>
    <t xml:space="preserve">Rs/L</t>
  </si>
  <si>
    <t xml:space="preserve">LEVER (dealer comm. excluded)</t>
  </si>
  <si>
    <t xml:space="preserve">OMC marketing margin — diesel</t>
  </si>
  <si>
    <t xml:space="preserve">LEVER</t>
  </si>
  <si>
    <t xml:space="preserve">Petrol demand growth (vehicle-driven)</t>
  </si>
  <si>
    <t xml:space="preserve">%/yr</t>
  </si>
  <si>
    <t xml:space="preserve">RR 6.1 H1 YoY</t>
  </si>
  <si>
    <t xml:space="preserve">Diesel demand growth (vehicle-driven)</t>
  </si>
  <si>
    <t xml:space="preserve">Outlet network growth</t>
  </si>
  <si>
    <t xml:space="preserve">E20 blend %</t>
  </si>
  <si>
    <t xml:space="preserve">%</t>
  </si>
  <si>
    <t xml:space="preserve">achieved ~2025</t>
  </si>
  <si>
    <t xml:space="preserve">E20 mileage drop</t>
  </si>
  <si>
    <t xml:space="preserve">SIAM/ARAI central</t>
  </si>
  <si>
    <t xml:space="preserve">E25 blend %</t>
  </si>
  <si>
    <t xml:space="preserve">roadmap</t>
  </si>
  <si>
    <t xml:space="preserve">E25 mileage drop</t>
  </si>
  <si>
    <t xml:space="preserve">LEVER (LCV-scaled)</t>
  </si>
  <si>
    <t xml:space="preserve">E30 blend %</t>
  </si>
  <si>
    <t xml:space="preserve">E30 mileage drop</t>
  </si>
  <si>
    <t xml:space="preserve">Base retail book (FY 2024-25 actual)</t>
  </si>
  <si>
    <t xml:space="preserve">Item</t>
  </si>
  <si>
    <t xml:space="preserve">Petrol (MS)</t>
  </si>
  <si>
    <t xml:space="preserve">Diesel (HSD)</t>
  </si>
  <si>
    <t xml:space="preserve">Total</t>
  </si>
  <si>
    <t xml:space="preserve">Volume (bn L)</t>
  </si>
  <si>
    <t xml:space="preserve">OMC margin (Rs/L)</t>
  </si>
  <si>
    <t xml:space="preserve">OMC retail gross (Rs cr/yr)</t>
  </si>
  <si>
    <t xml:space="preserve">Avg throughput/RO (KL/month)</t>
  </si>
  <si>
    <t xml:space="preserve">Ethanol blend scenarios (petrol only; same distance driven)</t>
  </si>
  <si>
    <t xml:space="preserve">L0 = E0-equivalent petrol volume (fixed distance) = base petrol blend × (1 − E20 drop)</t>
  </si>
  <si>
    <t xml:space="preserve">Scenario</t>
  </si>
  <si>
    <t xml:space="preserve">Blend %</t>
  </si>
  <si>
    <t xml:space="preserve">Mileage drop</t>
  </si>
  <si>
    <t xml:space="preserve">Blend vol (bn L)</t>
  </si>
  <si>
    <t xml:space="preserve">Petrol MS (bn L)</t>
  </si>
  <si>
    <t xml:space="preserve">Ethanol (bn L)</t>
  </si>
  <si>
    <t xml:space="preserve">Extra vs E0 (bn L)</t>
  </si>
  <si>
    <t xml:space="preserve">Extra OMC income (Rs cr/yr)</t>
  </si>
  <si>
    <t xml:space="preserve">E20</t>
  </si>
  <si>
    <t xml:space="preserve">E25</t>
  </si>
  <si>
    <t xml:space="preserve">E30</t>
  </si>
  <si>
    <t xml:space="preserve">Fuel-pool mix scenarios — E0/E20/E25/E30 in a ratio (edit blue shares; each row must sum to 100%)</t>
  </si>
  <si>
    <t xml:space="preserve">Same distance driven across rows. OMC petrol income = blend-weighted throughput × petrol margin.</t>
  </si>
  <si>
    <t xml:space="preserve">Mix scenario</t>
  </si>
  <si>
    <t xml:space="preserve">E0</t>
  </si>
  <si>
    <t xml:space="preserve">Σ</t>
  </si>
  <si>
    <t xml:space="preserve">Wtd drop</t>
  </si>
  <si>
    <t xml:space="preserve">OMC petrol income (Rs cr)</t>
  </si>
  <si>
    <t xml:space="preserve">Extra vs all-E0 (Rs cr)</t>
  </si>
  <si>
    <t xml:space="preserve">S0 Today (~E20)</t>
  </si>
  <si>
    <t xml:space="preserve">S1 E20 universal</t>
  </si>
  <si>
    <t xml:space="preserve">S2 Transition FY27</t>
  </si>
  <si>
    <t xml:space="preserve">S3 E25 majority FY28</t>
  </si>
  <si>
    <t xml:space="preserve">S4 E30 push FY30</t>
  </si>
  <si>
    <t xml:space="preserve">CBG caveat: this mileage-drop → extra-throughput effect is ETHANOL-ONLY. CBG cascaded into CNG must meet IS 16087 (min ~90% methane), so its calorific value matches fossil CNG (IS 15958) — no mileage loss, hence no analogous throughput uplift for the CNG book.</t>
  </si>
  <si>
    <t xml:space="preserve">YoY projection — vehicle demand growth + ethanol blend roadmap</t>
  </si>
  <si>
    <t xml:space="preserve">FY</t>
  </si>
  <si>
    <t xml:space="preserve">Blend drop</t>
  </si>
  <si>
    <t xml:space="preserve">Outlets</t>
  </si>
  <si>
    <t xml:space="preserve">Petrol blend (bn L)</t>
  </si>
  <si>
    <t xml:space="preserve">Diesel (bn L)</t>
  </si>
  <si>
    <t xml:space="preserve">OMC income (Rs cr)</t>
  </si>
  <si>
    <t xml:space="preserve">YoY Δ (Rs cr)</t>
  </si>
  <si>
    <t xml:space="preserve">Ethanol-attrib (Rs cr)</t>
  </si>
  <si>
    <t xml:space="preserve">FY25-26</t>
  </si>
  <si>
    <t xml:space="preserve">FY26-27</t>
  </si>
  <si>
    <t xml:space="preserve">FY27-28</t>
  </si>
  <si>
    <t xml:space="preserve">FY28-29</t>
  </si>
  <si>
    <t xml:space="preserve">FY29-30</t>
  </si>
  <si>
    <t xml:space="preserve">Consistency checks (all must read PASS)</t>
  </si>
  <si>
    <t xml:space="preserve">Check</t>
  </si>
  <si>
    <t xml:space="preserve">Result</t>
  </si>
  <si>
    <t xml:space="preserve">Scenario E20 blend vol = base petrol volume</t>
  </si>
  <si>
    <t xml:space="preserve">Extra OMC income rises with blend (E20&lt;E25&lt;E30)</t>
  </si>
  <si>
    <t xml:space="preserve">Pure petrol falls as blend rises (E20&gt;E25&gt;E30)</t>
  </si>
  <si>
    <t xml:space="preserve">Projection FY25-26 income = Base total</t>
  </si>
  <si>
    <t xml:space="preserve">Projection income strictly increasing</t>
  </si>
  <si>
    <t xml:space="preserve">Outlets grow YoY</t>
  </si>
  <si>
    <t xml:space="preserve">Every blend-mix row sums to 100%</t>
  </si>
  <si>
    <t xml:space="preserve">Mix OMC petrol income rises as pool shifts E0→E30</t>
  </si>
  <si>
    <t xml:space="preserve">Mix pure-petrol falls as ethanol share rises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</si>
</sst>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color rgb="FF80808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1F4E7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4" style="0" width="3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0" t="s">
        <v>5</v>
      </c>
      <c r="B4" s="3" t="n">
        <v>99281</v>
      </c>
      <c r="C4" s="0" t="s">
        <v>6</v>
      </c>
      <c r="D4" s="4" t="s">
        <v>7</v>
      </c>
    </row>
    <row r="5" customFormat="false" ht="15" hidden="false" customHeight="false" outlineLevel="0" collapsed="false">
      <c r="A5" s="0" t="s">
        <v>8</v>
      </c>
      <c r="B5" s="3" t="n">
        <v>91949</v>
      </c>
      <c r="C5" s="0" t="s">
        <v>6</v>
      </c>
      <c r="D5" s="4" t="s">
        <v>9</v>
      </c>
    </row>
    <row r="6" customFormat="false" ht="15" hidden="false" customHeight="false" outlineLevel="0" collapsed="false">
      <c r="A6" s="0" t="s">
        <v>10</v>
      </c>
      <c r="B6" s="5" t="n">
        <v>40</v>
      </c>
      <c r="C6" s="0" t="s">
        <v>11</v>
      </c>
      <c r="D6" s="4" t="s">
        <v>12</v>
      </c>
    </row>
    <row r="7" customFormat="false" ht="15" hidden="false" customHeight="false" outlineLevel="0" collapsed="false">
      <c r="A7" s="0" t="s">
        <v>13</v>
      </c>
      <c r="B7" s="5" t="n">
        <v>91.4</v>
      </c>
      <c r="C7" s="0" t="s">
        <v>11</v>
      </c>
      <c r="D7" s="4" t="s">
        <v>12</v>
      </c>
    </row>
    <row r="8" customFormat="false" ht="15" hidden="false" customHeight="false" outlineLevel="0" collapsed="false">
      <c r="A8" s="0" t="s">
        <v>14</v>
      </c>
      <c r="B8" s="5" t="n">
        <v>0.74</v>
      </c>
      <c r="C8" s="0" t="s">
        <v>15</v>
      </c>
      <c r="D8" s="4" t="s">
        <v>16</v>
      </c>
    </row>
    <row r="9" customFormat="false" ht="15" hidden="false" customHeight="false" outlineLevel="0" collapsed="false">
      <c r="A9" s="0" t="s">
        <v>17</v>
      </c>
      <c r="B9" s="5" t="n">
        <v>0.83</v>
      </c>
      <c r="C9" s="0" t="s">
        <v>15</v>
      </c>
      <c r="D9" s="4" t="s">
        <v>16</v>
      </c>
    </row>
    <row r="10" customFormat="false" ht="15" hidden="false" customHeight="false" outlineLevel="0" collapsed="false">
      <c r="A10" s="0" t="s">
        <v>18</v>
      </c>
      <c r="B10" s="5" t="n">
        <v>3.5</v>
      </c>
      <c r="C10" s="0" t="s">
        <v>19</v>
      </c>
      <c r="D10" s="4" t="s">
        <v>20</v>
      </c>
    </row>
    <row r="11" customFormat="false" ht="15" hidden="false" customHeight="false" outlineLevel="0" collapsed="false">
      <c r="A11" s="0" t="s">
        <v>21</v>
      </c>
      <c r="B11" s="5" t="n">
        <v>2.5</v>
      </c>
      <c r="C11" s="0" t="s">
        <v>19</v>
      </c>
      <c r="D11" s="4" t="s">
        <v>22</v>
      </c>
    </row>
    <row r="12" customFormat="false" ht="15" hidden="false" customHeight="false" outlineLevel="0" collapsed="false">
      <c r="A12" s="0" t="s">
        <v>23</v>
      </c>
      <c r="B12" s="6" t="n">
        <v>0.071</v>
      </c>
      <c r="C12" s="0" t="s">
        <v>24</v>
      </c>
      <c r="D12" s="4" t="s">
        <v>25</v>
      </c>
    </row>
    <row r="13" customFormat="false" ht="15" hidden="false" customHeight="false" outlineLevel="0" collapsed="false">
      <c r="A13" s="0" t="s">
        <v>26</v>
      </c>
      <c r="B13" s="6" t="n">
        <v>0.029</v>
      </c>
      <c r="C13" s="0" t="s">
        <v>24</v>
      </c>
      <c r="D13" s="4" t="s">
        <v>25</v>
      </c>
    </row>
    <row r="14" customFormat="false" ht="15" hidden="false" customHeight="false" outlineLevel="0" collapsed="false">
      <c r="A14" s="0" t="s">
        <v>27</v>
      </c>
      <c r="B14" s="6" t="n">
        <v>0.045</v>
      </c>
      <c r="C14" s="0" t="s">
        <v>24</v>
      </c>
      <c r="D14" s="4" t="s">
        <v>22</v>
      </c>
    </row>
    <row r="15" customFormat="false" ht="15" hidden="false" customHeight="false" outlineLevel="0" collapsed="false">
      <c r="A15" s="0" t="s">
        <v>28</v>
      </c>
      <c r="B15" s="6" t="n">
        <v>0.2</v>
      </c>
      <c r="C15" s="0" t="s">
        <v>29</v>
      </c>
      <c r="D15" s="4" t="s">
        <v>30</v>
      </c>
    </row>
    <row r="16" customFormat="false" ht="15" hidden="false" customHeight="false" outlineLevel="0" collapsed="false">
      <c r="A16" s="0" t="s">
        <v>31</v>
      </c>
      <c r="B16" s="6" t="n">
        <v>0.04</v>
      </c>
      <c r="C16" s="0" t="s">
        <v>29</v>
      </c>
      <c r="D16" s="4" t="s">
        <v>32</v>
      </c>
    </row>
    <row r="17" customFormat="false" ht="15" hidden="false" customHeight="false" outlineLevel="0" collapsed="false">
      <c r="A17" s="0" t="s">
        <v>33</v>
      </c>
      <c r="B17" s="6" t="n">
        <v>0.25</v>
      </c>
      <c r="C17" s="0" t="s">
        <v>29</v>
      </c>
      <c r="D17" s="4" t="s">
        <v>34</v>
      </c>
    </row>
    <row r="18" customFormat="false" ht="15" hidden="false" customHeight="false" outlineLevel="0" collapsed="false">
      <c r="A18" s="0" t="s">
        <v>35</v>
      </c>
      <c r="B18" s="6" t="n">
        <v>0.055</v>
      </c>
      <c r="C18" s="0" t="s">
        <v>29</v>
      </c>
      <c r="D18" s="4" t="s">
        <v>36</v>
      </c>
    </row>
    <row r="19" customFormat="false" ht="15" hidden="false" customHeight="false" outlineLevel="0" collapsed="false">
      <c r="A19" s="0" t="s">
        <v>37</v>
      </c>
      <c r="B19" s="6" t="n">
        <v>0.3</v>
      </c>
      <c r="C19" s="0" t="s">
        <v>29</v>
      </c>
      <c r="D19" s="4" t="s">
        <v>34</v>
      </c>
    </row>
    <row r="20" customFormat="false" ht="15" hidden="false" customHeight="false" outlineLevel="0" collapsed="false">
      <c r="A20" s="0" t="s">
        <v>38</v>
      </c>
      <c r="B20" s="6" t="n">
        <v>0.07</v>
      </c>
      <c r="C20" s="0" t="s">
        <v>29</v>
      </c>
      <c r="D20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6.15" hidden="false" customHeight="false" outlineLevel="0" collapsed="false">
      <c r="A1" s="1" t="s">
        <v>39</v>
      </c>
    </row>
    <row r="3" customFormat="false" ht="15" hidden="false" customHeight="false" outlineLevel="0" collapsed="false">
      <c r="A3" s="2" t="s">
        <v>40</v>
      </c>
      <c r="B3" s="2" t="s">
        <v>41</v>
      </c>
      <c r="C3" s="2" t="s">
        <v>42</v>
      </c>
      <c r="D3" s="2" t="s">
        <v>43</v>
      </c>
    </row>
    <row r="4" customFormat="false" ht="15" hidden="false" customHeight="false" outlineLevel="0" collapsed="false">
      <c r="A4" s="0" t="s">
        <v>44</v>
      </c>
      <c r="B4" s="7" t="n">
        <f aca="false">(Inputs!$B$6*1000/Inputs!$B$8)/1000</f>
        <v>54.0540540540541</v>
      </c>
      <c r="C4" s="7" t="n">
        <f aca="false">(Inputs!$B$7*1000/Inputs!$B$9)/1000</f>
        <v>110.120481927711</v>
      </c>
      <c r="D4" s="7" t="n">
        <f aca="false">B4+C4</f>
        <v>164.174535981765</v>
      </c>
    </row>
    <row r="5" customFormat="false" ht="15" hidden="false" customHeight="false" outlineLevel="0" collapsed="false">
      <c r="A5" s="0" t="s">
        <v>45</v>
      </c>
      <c r="B5" s="7" t="n">
        <f aca="false">Inputs!$B$10</f>
        <v>3.5</v>
      </c>
      <c r="C5" s="7" t="n">
        <f aca="false">Inputs!$B$11</f>
        <v>2.5</v>
      </c>
      <c r="D5" s="7"/>
    </row>
    <row r="6" customFormat="false" ht="15" hidden="false" customHeight="false" outlineLevel="0" collapsed="false">
      <c r="A6" s="0" t="s">
        <v>46</v>
      </c>
      <c r="B6" s="8" t="n">
        <f aca="false">B4*1000000000*B5/10000000</f>
        <v>18918.9189189189</v>
      </c>
      <c r="C6" s="8" t="n">
        <f aca="false">C4*1000000000*C5/10000000</f>
        <v>27530.1204819277</v>
      </c>
      <c r="D6" s="8" t="n">
        <f aca="false">B6+C6</f>
        <v>46449.0394008466</v>
      </c>
    </row>
    <row r="7" customFormat="false" ht="15" hidden="false" customHeight="false" outlineLevel="0" collapsed="false">
      <c r="A7" s="0" t="s">
        <v>47</v>
      </c>
      <c r="B7" s="7" t="n">
        <f aca="false">B4*1000000000/Inputs!$B$4/12/1000</f>
        <v>45.3712644363423</v>
      </c>
      <c r="C7" s="7" t="n">
        <f aca="false">C4*1000000000/Inputs!$B$4/12/1000</f>
        <v>92.4316518498931</v>
      </c>
      <c r="D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4" t="s">
        <v>49</v>
      </c>
    </row>
    <row r="4" customFormat="false" ht="15" hidden="false" customHeight="false" outlineLevel="0" collapsed="false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</row>
    <row r="5" customFormat="false" ht="15" hidden="false" customHeight="false" outlineLevel="0" collapsed="false">
      <c r="A5" s="0" t="s">
        <v>58</v>
      </c>
      <c r="B5" s="9" t="n">
        <f aca="false">Inputs!$B$15</f>
        <v>0.2</v>
      </c>
      <c r="C5" s="9" t="n">
        <f aca="false">Inputs!$B$16</f>
        <v>0.04</v>
      </c>
      <c r="D5" s="7" t="n">
        <f aca="false">(((Inputs!$B$6*1000/Inputs!$B$8)/1000)*(1-Inputs!$B$16)/(1-Inputs!$B$16))</f>
        <v>54.0540540540541</v>
      </c>
      <c r="E5" s="7" t="n">
        <f aca="false">D5*(1-Inputs!$B$15)</f>
        <v>43.2432432432433</v>
      </c>
      <c r="F5" s="7" t="n">
        <f aca="false">D5*Inputs!$B$15</f>
        <v>10.8108108108108</v>
      </c>
      <c r="G5" s="7" t="n">
        <f aca="false">D5-(((Inputs!$B$6*1000/Inputs!$B$8)/1000)*(1-Inputs!$B$16))</f>
        <v>2.16216216216216</v>
      </c>
      <c r="H5" s="8" t="n">
        <f aca="false">G5*1000000000*Inputs!$B$10/10000000</f>
        <v>756.756756756757</v>
      </c>
    </row>
    <row r="6" customFormat="false" ht="15" hidden="false" customHeight="false" outlineLevel="0" collapsed="false">
      <c r="A6" s="0" t="s">
        <v>59</v>
      </c>
      <c r="B6" s="9" t="n">
        <f aca="false">Inputs!$B$17</f>
        <v>0.25</v>
      </c>
      <c r="C6" s="9" t="n">
        <f aca="false">Inputs!$B$18</f>
        <v>0.055</v>
      </c>
      <c r="D6" s="7" t="n">
        <f aca="false">(((Inputs!$B$6*1000/Inputs!$B$8)/1000)*(1-Inputs!$B$16)/(1-Inputs!$B$18))</f>
        <v>54.9120549120549</v>
      </c>
      <c r="E6" s="7" t="n">
        <f aca="false">D6*(1-Inputs!$B$17)</f>
        <v>41.1840411840412</v>
      </c>
      <c r="F6" s="7" t="n">
        <f aca="false">D6*Inputs!$B$17</f>
        <v>13.7280137280137</v>
      </c>
      <c r="G6" s="7" t="n">
        <f aca="false">D6-(((Inputs!$B$6*1000/Inputs!$B$8)/1000)*(1-Inputs!$B$16))</f>
        <v>3.02016302016303</v>
      </c>
      <c r="H6" s="8" t="n">
        <f aca="false">G6*1000000000*Inputs!$B$10/10000000</f>
        <v>1057.05705705706</v>
      </c>
    </row>
    <row r="7" customFormat="false" ht="15" hidden="false" customHeight="false" outlineLevel="0" collapsed="false">
      <c r="A7" s="0" t="s">
        <v>60</v>
      </c>
      <c r="B7" s="9" t="n">
        <f aca="false">Inputs!$B$19</f>
        <v>0.3</v>
      </c>
      <c r="C7" s="9" t="n">
        <f aca="false">Inputs!$B$20</f>
        <v>0.07</v>
      </c>
      <c r="D7" s="7" t="n">
        <f aca="false">(((Inputs!$B$6*1000/Inputs!$B$8)/1000)*(1-Inputs!$B$16)/(1-Inputs!$B$20))</f>
        <v>55.7977332170881</v>
      </c>
      <c r="E7" s="7" t="n">
        <f aca="false">D7*(1-Inputs!$B$19)</f>
        <v>39.0584132519616</v>
      </c>
      <c r="F7" s="7" t="n">
        <f aca="false">D7*Inputs!$B$19</f>
        <v>16.7393199651264</v>
      </c>
      <c r="G7" s="7" t="n">
        <f aca="false">D7-(((Inputs!$B$6*1000/Inputs!$B$8)/1000)*(1-Inputs!$B$16))</f>
        <v>3.90584132519617</v>
      </c>
      <c r="H7" s="8" t="n">
        <f aca="false">G7*1000000000*Inputs!$B$10/10000000</f>
        <v>1367.04446381866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0"/>
    <col collapsed="false" customWidth="true" hidden="false" outlineLevel="0" max="12" min="8" style="0" width="16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4" t="s">
        <v>62</v>
      </c>
    </row>
    <row r="4" customFormat="false" ht="15" hidden="false" customHeight="false" outlineLevel="0" collapsed="false">
      <c r="A4" s="2" t="s">
        <v>63</v>
      </c>
      <c r="B4" s="2" t="s">
        <v>64</v>
      </c>
      <c r="C4" s="2" t="s">
        <v>58</v>
      </c>
      <c r="D4" s="2" t="s">
        <v>59</v>
      </c>
      <c r="E4" s="2" t="s">
        <v>60</v>
      </c>
      <c r="F4" s="2" t="s">
        <v>65</v>
      </c>
      <c r="G4" s="2" t="s">
        <v>66</v>
      </c>
      <c r="H4" s="2" t="s">
        <v>53</v>
      </c>
      <c r="I4" s="2" t="s">
        <v>55</v>
      </c>
      <c r="J4" s="2" t="s">
        <v>54</v>
      </c>
      <c r="K4" s="2" t="s">
        <v>67</v>
      </c>
      <c r="L4" s="2" t="s">
        <v>68</v>
      </c>
    </row>
    <row r="5" customFormat="false" ht="15" hidden="false" customHeight="false" outlineLevel="0" collapsed="false">
      <c r="A5" s="0" t="s">
        <v>69</v>
      </c>
      <c r="B5" s="6" t="n">
        <v>0.05</v>
      </c>
      <c r="C5" s="6" t="n">
        <v>0.95</v>
      </c>
      <c r="D5" s="6" t="n">
        <v>0</v>
      </c>
      <c r="E5" s="6" t="n">
        <v>0</v>
      </c>
      <c r="F5" s="9" t="n">
        <f aca="false">SUM(B5:E5)</f>
        <v>1</v>
      </c>
      <c r="G5" s="9" t="n">
        <f aca="false">C5*Inputs!$B$16+D5*Inputs!$B$18+E5*Inputs!$B$20</f>
        <v>0.038</v>
      </c>
      <c r="H5" s="7" t="n">
        <f aca="false">(((Inputs!$B$6*1000/Inputs!$B$8)/1000)*(1-Inputs!$B$16))*(B5+C5/(1-Inputs!$B$16)+D5/(1-Inputs!$B$18)+E5/(1-Inputs!$B$20))</f>
        <v>53.945945945946</v>
      </c>
      <c r="I5" s="7" t="n">
        <f aca="false">(((Inputs!$B$6*1000/Inputs!$B$8)/1000)*(1-Inputs!$B$16))*(C5/(1-Inputs!$B$16)*Inputs!$B$15+D5/(1-Inputs!$B$18)*Inputs!$B$17+E5/(1-Inputs!$B$20)*Inputs!$B$19)</f>
        <v>10.2702702702703</v>
      </c>
      <c r="J5" s="7" t="n">
        <f aca="false">H5-I5</f>
        <v>43.6756756756757</v>
      </c>
      <c r="K5" s="8" t="n">
        <f aca="false">H5*1000000000*Inputs!$B$10/10000000</f>
        <v>18881.0810810811</v>
      </c>
      <c r="L5" s="8" t="n">
        <f aca="false">(H5-(((Inputs!$B$6*1000/Inputs!$B$8)/1000)*(1-Inputs!$B$16)))*1000000000*Inputs!$B$10/10000000</f>
        <v>718.91891891892</v>
      </c>
    </row>
    <row r="6" customFormat="false" ht="15" hidden="false" customHeight="false" outlineLevel="0" collapsed="false">
      <c r="A6" s="0" t="s">
        <v>70</v>
      </c>
      <c r="B6" s="6" t="n">
        <v>0</v>
      </c>
      <c r="C6" s="6" t="n">
        <v>1</v>
      </c>
      <c r="D6" s="6" t="n">
        <v>0</v>
      </c>
      <c r="E6" s="6" t="n">
        <v>0</v>
      </c>
      <c r="F6" s="9" t="n">
        <f aca="false">SUM(B6:E6)</f>
        <v>1</v>
      </c>
      <c r="G6" s="9" t="n">
        <f aca="false">C6*Inputs!$B$16+D6*Inputs!$B$18+E6*Inputs!$B$20</f>
        <v>0.04</v>
      </c>
      <c r="H6" s="7" t="n">
        <f aca="false">(((Inputs!$B$6*1000/Inputs!$B$8)/1000)*(1-Inputs!$B$16))*(B6+C6/(1-Inputs!$B$16)+D6/(1-Inputs!$B$18)+E6/(1-Inputs!$B$20))</f>
        <v>54.0540540540541</v>
      </c>
      <c r="I6" s="7" t="n">
        <f aca="false">(((Inputs!$B$6*1000/Inputs!$B$8)/1000)*(1-Inputs!$B$16))*(C6/(1-Inputs!$B$16)*Inputs!$B$15+D6/(1-Inputs!$B$18)*Inputs!$B$17+E6/(1-Inputs!$B$20)*Inputs!$B$19)</f>
        <v>10.8108108108108</v>
      </c>
      <c r="J6" s="7" t="n">
        <f aca="false">H6-I6</f>
        <v>43.2432432432433</v>
      </c>
      <c r="K6" s="8" t="n">
        <f aca="false">H6*1000000000*Inputs!$B$10/10000000</f>
        <v>18918.9189189189</v>
      </c>
      <c r="L6" s="8" t="n">
        <f aca="false">(H6-(((Inputs!$B$6*1000/Inputs!$B$8)/1000)*(1-Inputs!$B$16)))*1000000000*Inputs!$B$10/10000000</f>
        <v>756.756756756759</v>
      </c>
    </row>
    <row r="7" customFormat="false" ht="15" hidden="false" customHeight="false" outlineLevel="0" collapsed="false">
      <c r="A7" s="0" t="s">
        <v>71</v>
      </c>
      <c r="B7" s="6" t="n">
        <v>0.05</v>
      </c>
      <c r="C7" s="6" t="n">
        <v>0.55</v>
      </c>
      <c r="D7" s="6" t="n">
        <v>0.35</v>
      </c>
      <c r="E7" s="6" t="n">
        <v>0.05</v>
      </c>
      <c r="F7" s="9" t="n">
        <f aca="false">SUM(B7:E7)</f>
        <v>1</v>
      </c>
      <c r="G7" s="9" t="n">
        <f aca="false">C7*Inputs!$B$16+D7*Inputs!$B$18+E7*Inputs!$B$20</f>
        <v>0.04475</v>
      </c>
      <c r="H7" s="7" t="n">
        <f aca="false">(((Inputs!$B$6*1000/Inputs!$B$8)/1000)*(1-Inputs!$B$16))*(B7+C7/(1-Inputs!$B$16)+D7/(1-Inputs!$B$18)+E7/(1-Inputs!$B$20))</f>
        <v>54.333430204398</v>
      </c>
      <c r="I7" s="7" t="n">
        <f aca="false">(((Inputs!$B$6*1000/Inputs!$B$8)/1000)*(1-Inputs!$B$16))*(C7/(1-Inputs!$B$16)*Inputs!$B$15+D7/(1-Inputs!$B$18)*Inputs!$B$17+E7/(1-Inputs!$B$20)*Inputs!$B$19)</f>
        <v>11.5877167490071</v>
      </c>
      <c r="J7" s="7" t="n">
        <f aca="false">H7-I7</f>
        <v>42.7457134553909</v>
      </c>
      <c r="K7" s="8" t="n">
        <f aca="false">H7*1000000000*Inputs!$B$10/10000000</f>
        <v>19016.7005715393</v>
      </c>
      <c r="L7" s="8" t="n">
        <f aca="false">(H7-(((Inputs!$B$6*1000/Inputs!$B$8)/1000)*(1-Inputs!$B$16)))*1000000000*Inputs!$B$10/10000000</f>
        <v>854.538409377122</v>
      </c>
    </row>
    <row r="8" customFormat="false" ht="15" hidden="false" customHeight="false" outlineLevel="0" collapsed="false">
      <c r="A8" s="0" t="s">
        <v>72</v>
      </c>
      <c r="B8" s="6" t="n">
        <v>0.05</v>
      </c>
      <c r="C8" s="6" t="n">
        <v>0.2</v>
      </c>
      <c r="D8" s="6" t="n">
        <v>0.6</v>
      </c>
      <c r="E8" s="6" t="n">
        <v>0.15</v>
      </c>
      <c r="F8" s="9" t="n">
        <f aca="false">SUM(B8:E8)</f>
        <v>1</v>
      </c>
      <c r="G8" s="9" t="n">
        <f aca="false">C8*Inputs!$B$16+D8*Inputs!$B$18+E8*Inputs!$B$20</f>
        <v>0.0515</v>
      </c>
      <c r="H8" s="7" t="n">
        <f aca="false">(((Inputs!$B$6*1000/Inputs!$B$8)/1000)*(1-Inputs!$B$16))*(B8+C8/(1-Inputs!$B$16)+D8/(1-Inputs!$B$18)+E8/(1-Inputs!$B$20))</f>
        <v>54.7222983352016</v>
      </c>
      <c r="I8" s="7" t="n">
        <f aca="false">(((Inputs!$B$6*1000/Inputs!$B$8)/1000)*(1-Inputs!$B$16))*(C8/(1-Inputs!$B$16)*Inputs!$B$15+D8/(1-Inputs!$B$18)*Inputs!$B$17+E8/(1-Inputs!$B$20)*Inputs!$B$19)</f>
        <v>12.9098683937394</v>
      </c>
      <c r="J8" s="7" t="n">
        <f aca="false">H8-I8</f>
        <v>41.8124299414622</v>
      </c>
      <c r="K8" s="8" t="n">
        <f aca="false">H8*1000000000*Inputs!$B$10/10000000</f>
        <v>19152.8044173206</v>
      </c>
      <c r="L8" s="8" t="n">
        <f aca="false">(H8-(((Inputs!$B$6*1000/Inputs!$B$8)/1000)*(1-Inputs!$B$16)))*1000000000*Inputs!$B$10/10000000</f>
        <v>990.642255158385</v>
      </c>
    </row>
    <row r="9" customFormat="false" ht="15" hidden="false" customHeight="false" outlineLevel="0" collapsed="false">
      <c r="A9" s="0" t="s">
        <v>73</v>
      </c>
      <c r="B9" s="6" t="n">
        <v>0.05</v>
      </c>
      <c r="C9" s="6" t="n">
        <v>0.1</v>
      </c>
      <c r="D9" s="6" t="n">
        <v>0.25</v>
      </c>
      <c r="E9" s="6" t="n">
        <v>0.6</v>
      </c>
      <c r="F9" s="9" t="n">
        <f aca="false">SUM(B9:E9)</f>
        <v>1</v>
      </c>
      <c r="G9" s="9" t="n">
        <f aca="false">C9*Inputs!$B$16+D9*Inputs!$B$18+E9*Inputs!$B$20</f>
        <v>0.05975</v>
      </c>
      <c r="H9" s="7" t="n">
        <f aca="false">(((Inputs!$B$6*1000/Inputs!$B$8)/1000)*(1-Inputs!$B$16))*(B9+C9/(1-Inputs!$B$16)+D9/(1-Inputs!$B$18)+E9/(1-Inputs!$B$20))</f>
        <v>55.2066536582666</v>
      </c>
      <c r="I9" s="7" t="n">
        <f aca="false">(((Inputs!$B$6*1000/Inputs!$B$8)/1000)*(1-Inputs!$B$16))*(C9/(1-Inputs!$B$16)*Inputs!$B$15+D9/(1-Inputs!$B$18)*Inputs!$B$17+E9/(1-Inputs!$B$20)*Inputs!$B$19)</f>
        <v>14.5566764921604</v>
      </c>
      <c r="J9" s="7" t="n">
        <f aca="false">H9-I9</f>
        <v>40.6499771661062</v>
      </c>
      <c r="K9" s="8" t="n">
        <f aca="false">H9*1000000000*Inputs!$B$10/10000000</f>
        <v>19322.3287803933</v>
      </c>
      <c r="L9" s="8" t="n">
        <f aca="false">(H9-(((Inputs!$B$6*1000/Inputs!$B$8)/1000)*(1-Inputs!$B$16)))*1000000000*Inputs!$B$10/10000000</f>
        <v>1160.16661823114</v>
      </c>
    </row>
    <row r="11" customFormat="false" ht="15" hidden="false" customHeight="true" outlineLevel="0" collapsed="false">
      <c r="A11" s="10" t="s">
        <v>74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</sheetData>
  <mergeCells count="1">
    <mergeCell ref="A11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1" t="s">
        <v>75</v>
      </c>
    </row>
    <row r="3" customFormat="false" ht="15" hidden="false" customHeight="false" outlineLevel="0" collapsed="false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82</v>
      </c>
      <c r="H3" s="2" t="s">
        <v>83</v>
      </c>
    </row>
    <row r="4" customFormat="false" ht="15" hidden="false" customHeight="false" outlineLevel="0" collapsed="false">
      <c r="A4" s="0" t="s">
        <v>84</v>
      </c>
      <c r="B4" s="9" t="n">
        <f aca="false">Inputs!$B$16</f>
        <v>0.04</v>
      </c>
      <c r="C4" s="8" t="n">
        <f aca="false">Inputs!$B$4*(1+Inputs!$B$14)^0</f>
        <v>99281</v>
      </c>
      <c r="D4" s="7" t="n">
        <f aca="false">((((Inputs!$B$6*1000/Inputs!$B$8)/1000)*(1-Inputs!$B$16))*(1+Inputs!$B$12)^0/(1-Inputs!$B$16))</f>
        <v>54.0540540540541</v>
      </c>
      <c r="E4" s="7" t="n">
        <f aca="false">((Inputs!$B$7*1000/Inputs!$B$9)/1000)*(1+Inputs!$B$13)^0</f>
        <v>110.120481927711</v>
      </c>
      <c r="F4" s="8" t="n">
        <f aca="false">D4*1000000000*Inputs!$B$10/10000000+E4*1000000000*Inputs!$B$11/10000000</f>
        <v>46449.0394008466</v>
      </c>
      <c r="G4" s="8"/>
      <c r="H4" s="8" t="n">
        <f aca="false">(D4-((((Inputs!$B$6*1000/Inputs!$B$8)/1000)*(1-Inputs!$B$16))*(1+Inputs!$B$12)^0))*1000000000*Inputs!$B$10/10000000</f>
        <v>756.756756756757</v>
      </c>
    </row>
    <row r="5" customFormat="false" ht="15" hidden="false" customHeight="false" outlineLevel="0" collapsed="false">
      <c r="A5" s="0" t="s">
        <v>85</v>
      </c>
      <c r="B5" s="9" t="n">
        <f aca="false">Inputs!$B$16</f>
        <v>0.04</v>
      </c>
      <c r="C5" s="8" t="n">
        <f aca="false">Inputs!$B$4*(1+Inputs!$B$14)^1</f>
        <v>103748.645</v>
      </c>
      <c r="D5" s="7" t="n">
        <f aca="false">((((Inputs!$B$6*1000/Inputs!$B$8)/1000)*(1-Inputs!$B$16))*(1+Inputs!$B$12)^1/(1-Inputs!$B$16))</f>
        <v>57.8918918918919</v>
      </c>
      <c r="E5" s="7" t="n">
        <f aca="false">((Inputs!$B$7*1000/Inputs!$B$9)/1000)*(1+Inputs!$B$13)^1</f>
        <v>113.313975903614</v>
      </c>
      <c r="F5" s="8" t="n">
        <f aca="false">D5*1000000000*Inputs!$B$10/10000000+E5*1000000000*Inputs!$B$11/10000000</f>
        <v>48590.6561380658</v>
      </c>
      <c r="G5" s="8" t="n">
        <f aca="false">F5-F4</f>
        <v>2141.61673721915</v>
      </c>
      <c r="H5" s="8" t="n">
        <f aca="false">(D5-((((Inputs!$B$6*1000/Inputs!$B$8)/1000)*(1-Inputs!$B$16))*(1+Inputs!$B$12)^1))*1000000000*Inputs!$B$10/10000000</f>
        <v>810.486486486487</v>
      </c>
    </row>
    <row r="6" customFormat="false" ht="15" hidden="false" customHeight="false" outlineLevel="0" collapsed="false">
      <c r="A6" s="0" t="s">
        <v>86</v>
      </c>
      <c r="B6" s="9" t="n">
        <f aca="false">Inputs!$B$18</f>
        <v>0.055</v>
      </c>
      <c r="C6" s="8" t="n">
        <f aca="false">Inputs!$B$4*(1+Inputs!$B$14)^2</f>
        <v>108417.334025</v>
      </c>
      <c r="D6" s="7" t="n">
        <f aca="false">((((Inputs!$B$6*1000/Inputs!$B$8)/1000)*(1-Inputs!$B$16))*(1+Inputs!$B$12)^2/(1-Inputs!$B$18))</f>
        <v>62.9863783783784</v>
      </c>
      <c r="E6" s="7" t="n">
        <f aca="false">((Inputs!$B$7*1000/Inputs!$B$9)/1000)*(1+Inputs!$B$13)^2</f>
        <v>116.600081204819</v>
      </c>
      <c r="F6" s="8" t="n">
        <f aca="false">D6*1000000000*Inputs!$B$10/10000000+E6*1000000000*Inputs!$B$11/10000000</f>
        <v>51195.2527336372</v>
      </c>
      <c r="G6" s="8" t="n">
        <f aca="false">F6-F5</f>
        <v>2604.59659557147</v>
      </c>
      <c r="H6" s="8" t="n">
        <f aca="false">(D6-((((Inputs!$B$6*1000/Inputs!$B$8)/1000)*(1-Inputs!$B$16))*(1+Inputs!$B$12)^2))*1000000000*Inputs!$B$10/10000000</f>
        <v>1212.48778378379</v>
      </c>
    </row>
    <row r="7" customFormat="false" ht="15" hidden="false" customHeight="false" outlineLevel="0" collapsed="false">
      <c r="A7" s="0" t="s">
        <v>87</v>
      </c>
      <c r="B7" s="9" t="n">
        <f aca="false">Inputs!$B$18</f>
        <v>0.055</v>
      </c>
      <c r="C7" s="8" t="n">
        <f aca="false">Inputs!$B$4*(1+Inputs!$B$14)^3</f>
        <v>113296.114056125</v>
      </c>
      <c r="D7" s="7" t="n">
        <f aca="false">((((Inputs!$B$6*1000/Inputs!$B$8)/1000)*(1-Inputs!$B$16))*(1+Inputs!$B$12)^3/(1-Inputs!$B$18))</f>
        <v>67.4584112432433</v>
      </c>
      <c r="E7" s="7" t="n">
        <f aca="false">((Inputs!$B$7*1000/Inputs!$B$9)/1000)*(1+Inputs!$B$13)^3</f>
        <v>119.981483559759</v>
      </c>
      <c r="F7" s="8" t="n">
        <f aca="false">D7*1000000000*Inputs!$B$10/10000000+E7*1000000000*Inputs!$B$11/10000000</f>
        <v>53605.8148250749</v>
      </c>
      <c r="G7" s="8" t="n">
        <f aca="false">F7-F6</f>
        <v>2410.56209143765</v>
      </c>
      <c r="H7" s="8" t="n">
        <f aca="false">(D7-((((Inputs!$B$6*1000/Inputs!$B$8)/1000)*(1-Inputs!$B$16))*(1+Inputs!$B$12)^3))*1000000000*Inputs!$B$10/10000000</f>
        <v>1298.57441643243</v>
      </c>
    </row>
    <row r="8" customFormat="false" ht="15" hidden="false" customHeight="false" outlineLevel="0" collapsed="false">
      <c r="A8" s="0" t="s">
        <v>88</v>
      </c>
      <c r="B8" s="9" t="n">
        <f aca="false">Inputs!$B$20</f>
        <v>0.07</v>
      </c>
      <c r="C8" s="8" t="n">
        <f aca="false">Inputs!$B$4*(1+Inputs!$B$14)^4</f>
        <v>118394.439188651</v>
      </c>
      <c r="D8" s="7" t="n">
        <f aca="false">((((Inputs!$B$6*1000/Inputs!$B$8)/1000)*(1-Inputs!$B$16))*(1+Inputs!$B$12)^4/(1-Inputs!$B$20))</f>
        <v>73.413248093796</v>
      </c>
      <c r="E8" s="7" t="n">
        <f aca="false">((Inputs!$B$7*1000/Inputs!$B$9)/1000)*(1+Inputs!$B$13)^4</f>
        <v>123.460946582992</v>
      </c>
      <c r="F8" s="8" t="n">
        <f aca="false">D8*1000000000*Inputs!$B$10/10000000+E8*1000000000*Inputs!$B$11/10000000</f>
        <v>56559.8734785766</v>
      </c>
      <c r="G8" s="8" t="n">
        <f aca="false">F8-F7</f>
        <v>2954.0586535017</v>
      </c>
      <c r="H8" s="8" t="n">
        <f aca="false">(D8-((((Inputs!$B$6*1000/Inputs!$B$8)/1000)*(1-Inputs!$B$16))*(1+Inputs!$B$12)^4))*1000000000*Inputs!$B$10/10000000</f>
        <v>1798.624578298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</cols>
  <sheetData>
    <row r="1" customFormat="false" ht="16.15" hidden="false" customHeight="false" outlineLevel="0" collapsed="false">
      <c r="A1" s="1" t="s">
        <v>89</v>
      </c>
    </row>
    <row r="3" customFormat="false" ht="15" hidden="false" customHeight="false" outlineLevel="0" collapsed="false">
      <c r="A3" s="2" t="s">
        <v>90</v>
      </c>
      <c r="B3" s="2" t="s">
        <v>91</v>
      </c>
    </row>
    <row r="4" customFormat="false" ht="15" hidden="false" customHeight="false" outlineLevel="0" collapsed="false">
      <c r="A4" s="0" t="s">
        <v>92</v>
      </c>
      <c r="B4" s="0" t="str">
        <f aca="false">IF(ABS(Scenarios!D5-(Inputs!$B$6*1000/Inputs!$B$8)/1000)&lt;0.01,"PASS","FAIL")</f>
        <v>PASS</v>
      </c>
    </row>
    <row r="5" customFormat="false" ht="15" hidden="false" customHeight="false" outlineLevel="0" collapsed="false">
      <c r="A5" s="0" t="s">
        <v>93</v>
      </c>
      <c r="B5" s="0" t="str">
        <f aca="false">IF(AND(Scenarios!H5&lt;Scenarios!H6,Scenarios!H6&lt;Scenarios!H7),"PASS","FAIL")</f>
        <v>PASS</v>
      </c>
    </row>
    <row r="6" customFormat="false" ht="15" hidden="false" customHeight="false" outlineLevel="0" collapsed="false">
      <c r="A6" s="0" t="s">
        <v>94</v>
      </c>
      <c r="B6" s="0" t="str">
        <f aca="false">IF(AND(Scenarios!E5&gt;Scenarios!E6,Scenarios!E6&gt;Scenarios!E7),"PASS","FAIL")</f>
        <v>PASS</v>
      </c>
    </row>
    <row r="7" customFormat="false" ht="15" hidden="false" customHeight="false" outlineLevel="0" collapsed="false">
      <c r="A7" s="0" t="s">
        <v>95</v>
      </c>
      <c r="B7" s="0" t="str">
        <f aca="false">IF(ABS(Projection!F4-Base!$D$6)&lt;1,"PASS","FAIL")</f>
        <v>PASS</v>
      </c>
    </row>
    <row r="8" customFormat="false" ht="15" hidden="false" customHeight="false" outlineLevel="0" collapsed="false">
      <c r="A8" s="0" t="s">
        <v>96</v>
      </c>
      <c r="B8" s="0" t="str">
        <f aca="false">IF(AND(Projection!F5&gt;Projection!F4,Projection!F8&gt;Projection!F7),"PASS","FAIL")</f>
        <v>PASS</v>
      </c>
    </row>
    <row r="9" customFormat="false" ht="15" hidden="false" customHeight="false" outlineLevel="0" collapsed="false">
      <c r="A9" s="0" t="s">
        <v>97</v>
      </c>
      <c r="B9" s="0" t="str">
        <f aca="false">IF(Projection!C8&gt;Projection!C4,"PASS","FAIL")</f>
        <v>PASS</v>
      </c>
    </row>
    <row r="10" customFormat="false" ht="15" hidden="false" customHeight="false" outlineLevel="0" collapsed="false">
      <c r="A10" s="0" t="s">
        <v>98</v>
      </c>
      <c r="B10" s="0" t="str">
        <f aca="false">IF(AND(BlendMix!F5=1,BlendMix!F6=1,BlendMix!F7=1,BlendMix!F8=1,BlendMix!F9=1),"PASS","FAIL")</f>
        <v>PASS</v>
      </c>
    </row>
    <row r="11" customFormat="false" ht="15" hidden="false" customHeight="false" outlineLevel="0" collapsed="false">
      <c r="A11" s="0" t="s">
        <v>99</v>
      </c>
      <c r="B11" s="0" t="str">
        <f aca="false">IF(AND(BlendMix!K6&lt;BlendMix!K7,BlendMix!K7&lt;BlendMix!K8,BlendMix!K8&lt;BlendMix!K9),"PASS","FAIL")</f>
        <v>PASS</v>
      </c>
    </row>
    <row r="12" customFormat="false" ht="15" hidden="false" customHeight="false" outlineLevel="0" collapsed="false">
      <c r="A12" s="0" t="s">
        <v>100</v>
      </c>
      <c r="B12" s="0" t="str">
        <f aca="false">IF(BlendMix!J9&lt;BlendMix!J6,"PASS","FAIL")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2026-07-24T11:53:19Z</dcterms:created>
  <dc:creator>openpyxl</dc:creator>
  <dc:description/>
  <dc:language>en-IN</dc:language>
  <cp:lastModifiedBy/>
  <dcterms:modified xsi:type="dcterms:W3CDTF">2026-07-24T11:53:19Z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